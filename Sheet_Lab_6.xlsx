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Formulas" sheetId="2" r:id="rId5"/>
    <sheet state="visible" name="Charts" sheetId="3" r:id="rId6"/>
    <sheet state="visible" name="Heatmap" sheetId="4" r:id="rId7"/>
    <sheet state="visible" name="Pivot" sheetId="5" r:id="rId8"/>
  </sheets>
  <definedNames/>
  <calcPr/>
</workbook>
</file>

<file path=xl/sharedStrings.xml><?xml version="1.0" encoding="utf-8"?>
<sst xmlns="http://schemas.openxmlformats.org/spreadsheetml/2006/main" count="62" uniqueCount="34">
  <si>
    <t>Name</t>
  </si>
  <si>
    <t>Role</t>
  </si>
  <si>
    <t>TimeToFirstCommit</t>
  </si>
  <si>
    <t>TestScore</t>
  </si>
  <si>
    <t>Bugs</t>
  </si>
  <si>
    <t>NPS</t>
  </si>
  <si>
    <t>Employee1</t>
  </si>
  <si>
    <t>Frontend-разработчик (Middle)</t>
  </si>
  <si>
    <t>Employee2</t>
  </si>
  <si>
    <t>ML Engineer (Senior)</t>
  </si>
  <si>
    <t>Employee3</t>
  </si>
  <si>
    <t>Backend-разработчик (Junior)</t>
  </si>
  <si>
    <t>Employee4</t>
  </si>
  <si>
    <t>Employee5</t>
  </si>
  <si>
    <t>DevOps</t>
  </si>
  <si>
    <t>Employee6</t>
  </si>
  <si>
    <t>Backend-разработчик (Middle)</t>
  </si>
  <si>
    <t>Employee7</t>
  </si>
  <si>
    <t>Employee8</t>
  </si>
  <si>
    <t>Employee9</t>
  </si>
  <si>
    <t>Employee10</t>
  </si>
  <si>
    <t>Average Time to First Commit</t>
  </si>
  <si>
    <t>Correlation Test vs Bugs</t>
  </si>
  <si>
    <t>Onboarding Success % (NPS&gt;=8)</t>
  </si>
  <si>
    <t>Avg Bugs per Role</t>
  </si>
  <si>
    <t>Median TestScore</t>
  </si>
  <si>
    <t>Count</t>
  </si>
  <si>
    <t>Avg TTFC</t>
  </si>
  <si>
    <t>Avg Test</t>
  </si>
  <si>
    <t>Avg Bugs</t>
  </si>
  <si>
    <t>Avg NPS</t>
  </si>
  <si>
    <t>Frontend-разработчик(Junior)</t>
  </si>
  <si>
    <t>Avg TTC</t>
  </si>
  <si>
    <t>Avg TestScore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</si>
</sst>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1" fillId="0" fontId="1" numFmtId="0" xfId="0" applyBorder="1" applyFont="1"/>
    <xf borderId="1" fillId="0" fontId="1" numFmtId="0" xfId="0" applyBorder="1" applyFont="1"/>
    <xf borderId="0" fillId="0" fontId="1" numFmtId="0" xfId="0" applyFont="1"/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Time to First Commit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Data!$C$1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Data!$A$2:$A$11</c:f>
            </c:strRef>
          </c:cat>
          <c:val>
            <c:numRef>
              <c:f>Data!$C$2:$C$11</c:f>
              <c:numCache/>
            </c:numRef>
          </c:val>
        </c:ser>
        <c:axId val="1058296618"/>
        <c:axId val="1350877657"/>
      </c:barChart>
      <c:catAx>
        <c:axId val="10582966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0877657"/>
      </c:catAx>
      <c:valAx>
        <c:axId val="13508776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82966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NPS Distribution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val>
            <c:numRef>
              <c:f>Data!$F$2:$F$11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391150" cy="26955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15</xdr:row>
      <xdr:rowOff>0</xdr:rowOff>
    </xdr:from>
    <xdr:ext cx="5391150" cy="26955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1" displayName="Таблица1" name="Таблица1" id="1">
  <tableColumns count="6">
    <tableColumn name="Name" id="1"/>
    <tableColumn name="Role" id="2"/>
    <tableColumn name="TimeToFirstCommit" id="3"/>
    <tableColumn name="TestScore" id="4"/>
    <tableColumn name="Bugs" id="5"/>
    <tableColumn name="NPS" id="6"/>
  </tableColumns>
  <tableStyleInfo name="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25"/>
    <col customWidth="1" min="2" max="2" width="28.25"/>
    <col customWidth="1" min="3" max="3" width="25.0"/>
    <col customWidth="1" min="4" max="4" width="17.0"/>
    <col customWidth="1" min="5" max="5" width="12.88"/>
    <col customWidth="1" min="6" max="6" width="12.25"/>
    <col customWidth="1" min="7" max="26" width="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2" t="s">
        <v>7</v>
      </c>
      <c r="C2" s="3">
        <v>2.0</v>
      </c>
      <c r="D2" s="3">
        <v>64.0</v>
      </c>
      <c r="E2" s="3">
        <v>9.0</v>
      </c>
      <c r="F2" s="3">
        <v>2.0</v>
      </c>
    </row>
    <row r="3" ht="22.5" customHeight="1">
      <c r="A3" s="2" t="s">
        <v>8</v>
      </c>
      <c r="B3" s="2" t="s">
        <v>9</v>
      </c>
      <c r="C3" s="3">
        <v>10.0</v>
      </c>
      <c r="D3" s="3">
        <v>63.0</v>
      </c>
      <c r="E3" s="3">
        <v>9.0</v>
      </c>
      <c r="F3" s="3">
        <v>8.0</v>
      </c>
    </row>
    <row r="4" ht="22.5" customHeight="1">
      <c r="A4" s="2" t="s">
        <v>10</v>
      </c>
      <c r="B4" s="2" t="s">
        <v>11</v>
      </c>
      <c r="C4" s="3">
        <v>9.0</v>
      </c>
      <c r="D4" s="3">
        <v>97.0</v>
      </c>
      <c r="E4" s="3">
        <v>6.0</v>
      </c>
      <c r="F4" s="3">
        <v>10.0</v>
      </c>
    </row>
    <row r="5" ht="22.5" customHeight="1">
      <c r="A5" s="2" t="s">
        <v>12</v>
      </c>
      <c r="B5" s="2" t="s">
        <v>9</v>
      </c>
      <c r="C5" s="3">
        <v>2.0</v>
      </c>
      <c r="D5" s="3">
        <v>78.0</v>
      </c>
      <c r="E5" s="3">
        <v>6.0</v>
      </c>
      <c r="F5" s="3">
        <v>6.0</v>
      </c>
    </row>
    <row r="6" ht="22.5" customHeight="1">
      <c r="A6" s="2" t="s">
        <v>13</v>
      </c>
      <c r="B6" s="2" t="s">
        <v>14</v>
      </c>
      <c r="C6" s="3">
        <v>3.0</v>
      </c>
      <c r="D6" s="3">
        <v>62.0</v>
      </c>
      <c r="E6" s="3">
        <v>9.0</v>
      </c>
      <c r="F6" s="3">
        <v>8.0</v>
      </c>
    </row>
    <row r="7" ht="22.5" customHeight="1">
      <c r="A7" s="2" t="s">
        <v>15</v>
      </c>
      <c r="B7" s="2" t="s">
        <v>16</v>
      </c>
      <c r="C7" s="3">
        <v>10.0</v>
      </c>
      <c r="D7" s="3">
        <v>85.0</v>
      </c>
      <c r="E7" s="3">
        <v>2.0</v>
      </c>
      <c r="F7" s="3">
        <v>9.0</v>
      </c>
    </row>
    <row r="8" ht="22.5" customHeight="1">
      <c r="A8" s="2" t="s">
        <v>17</v>
      </c>
      <c r="B8" s="2" t="s">
        <v>16</v>
      </c>
      <c r="C8" s="3">
        <v>1.0</v>
      </c>
      <c r="D8" s="3">
        <v>98.0</v>
      </c>
      <c r="E8" s="3">
        <v>1.0</v>
      </c>
      <c r="F8" s="3">
        <v>5.0</v>
      </c>
    </row>
    <row r="9" ht="22.5" customHeight="1">
      <c r="A9" s="2" t="s">
        <v>18</v>
      </c>
      <c r="B9" s="2" t="s">
        <v>11</v>
      </c>
      <c r="C9" s="3">
        <v>4.0</v>
      </c>
      <c r="D9" s="3">
        <v>82.0</v>
      </c>
      <c r="E9" s="3">
        <v>6.0</v>
      </c>
      <c r="F9" s="3">
        <v>10.0</v>
      </c>
    </row>
    <row r="10" ht="22.5" customHeight="1">
      <c r="A10" s="2" t="s">
        <v>19</v>
      </c>
      <c r="B10" s="2" t="s">
        <v>11</v>
      </c>
      <c r="C10" s="3">
        <v>1.0</v>
      </c>
      <c r="D10" s="3">
        <v>59.0</v>
      </c>
      <c r="E10" s="3">
        <v>6.0</v>
      </c>
      <c r="F10" s="3">
        <v>6.0</v>
      </c>
    </row>
    <row r="11" ht="22.5" customHeight="1">
      <c r="A11" s="2" t="s">
        <v>20</v>
      </c>
      <c r="B11" s="2" t="s">
        <v>7</v>
      </c>
      <c r="C11" s="3">
        <v>9.0</v>
      </c>
      <c r="D11" s="3">
        <v>91.0</v>
      </c>
      <c r="E11" s="3">
        <v>5.0</v>
      </c>
      <c r="F11" s="3">
        <v>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C2:F11">
      <formula1>AND(ISNUMBER(C2),(NOT(OR(NOT(ISERROR(DATEVALUE(C2))), AND(ISNUMBER(C2), LEFT(CELL("format", C2))="D")))))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88"/>
    <col customWidth="1" min="2" max="2" width="12.25"/>
    <col customWidth="1" min="3" max="26" width="7.63"/>
  </cols>
  <sheetData>
    <row r="1">
      <c r="A1" s="4" t="s">
        <v>21</v>
      </c>
      <c r="B1" s="5">
        <f>AVERAGE(Data!C2:C11)</f>
        <v>5.1</v>
      </c>
    </row>
    <row r="2">
      <c r="A2" s="4" t="s">
        <v>22</v>
      </c>
      <c r="B2" s="4">
        <f>CORREL(Data!D2:D11,Data!E2:E11)</f>
        <v>-0.7377322817</v>
      </c>
    </row>
    <row r="3">
      <c r="A3" s="4" t="s">
        <v>23</v>
      </c>
      <c r="B3" s="4">
        <f>COUNTIF(Data!F2:F11,"&gt;=8")/COUNT(Data!F2:F11)</f>
        <v>0.6</v>
      </c>
    </row>
    <row r="4">
      <c r="A4" s="4" t="s">
        <v>24</v>
      </c>
      <c r="B4" s="5">
        <f>AVERAGE(Data!E2:E11)</f>
        <v>5.9</v>
      </c>
    </row>
    <row r="5">
      <c r="A5" s="4" t="s">
        <v>25</v>
      </c>
      <c r="B5" s="5">
        <f>MEDIAN(Data!D2:D11)</f>
        <v>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5.5"/>
    <col customWidth="1" min="3" max="3" width="12.25"/>
    <col customWidth="1" min="4" max="4" width="13.13"/>
    <col customWidth="1" min="5" max="5" width="12.25"/>
    <col customWidth="1" min="6" max="26" width="7.63"/>
  </cols>
  <sheetData>
    <row r="1">
      <c r="B1" s="6" t="s">
        <v>2</v>
      </c>
      <c r="C1" s="6" t="s">
        <v>3</v>
      </c>
      <c r="D1" s="6" t="s">
        <v>4</v>
      </c>
      <c r="E1" s="6" t="s">
        <v>5</v>
      </c>
    </row>
    <row r="2">
      <c r="A2" s="6" t="s">
        <v>2</v>
      </c>
      <c r="B2" s="6">
        <v>1.0</v>
      </c>
      <c r="C2" s="6">
        <v>0.2921076337692343</v>
      </c>
      <c r="D2" s="6">
        <v>-0.04015626134137692</v>
      </c>
      <c r="E2" s="6">
        <v>0.669398201008214</v>
      </c>
    </row>
    <row r="3">
      <c r="A3" s="6" t="s">
        <v>3</v>
      </c>
      <c r="B3" s="6">
        <v>0.2921076337692343</v>
      </c>
      <c r="C3" s="6">
        <v>1.0</v>
      </c>
      <c r="D3" s="6">
        <v>-0.7377322817240505</v>
      </c>
      <c r="E3" s="6">
        <v>0.3704096815791413</v>
      </c>
    </row>
    <row r="4">
      <c r="A4" s="6" t="s">
        <v>4</v>
      </c>
      <c r="B4" s="6">
        <v>-0.04015626134137692</v>
      </c>
      <c r="C4" s="6">
        <v>-0.7377322817240505</v>
      </c>
      <c r="D4" s="6">
        <v>1.0</v>
      </c>
      <c r="E4" s="6">
        <v>-0.1375059767870245</v>
      </c>
    </row>
    <row r="5">
      <c r="A5" s="6" t="s">
        <v>5</v>
      </c>
      <c r="B5" s="6">
        <v>0.669398201008214</v>
      </c>
      <c r="C5" s="6">
        <v>0.3704096815791413</v>
      </c>
      <c r="D5" s="6">
        <v>-0.1375059767870245</v>
      </c>
      <c r="E5" s="6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E5">
    <cfRule type="colorScale" priority="1">
      <colorScale>
        <cfvo type="formula" val="-1"/>
        <cfvo type="formula" val="0"/>
        <cfvo type="formula" val="1"/>
        <color rgb="FFAA0000"/>
        <color rgb="FFFFFF00"/>
        <color rgb="FF00AA00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63"/>
    <col customWidth="1" min="2" max="2" width="5.88"/>
    <col customWidth="1" min="3" max="3" width="11.75"/>
    <col customWidth="1" min="4" max="4" width="12.75"/>
    <col customWidth="1" min="5" max="5" width="10.75"/>
    <col customWidth="1" min="6" max="6" width="11.75"/>
    <col customWidth="1" min="7" max="26" width="7.63"/>
  </cols>
  <sheetData>
    <row r="1">
      <c r="A1" s="7" t="s">
        <v>1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30</v>
      </c>
    </row>
    <row r="2">
      <c r="A2" s="7" t="s">
        <v>16</v>
      </c>
      <c r="B2" s="8">
        <v>3.0</v>
      </c>
      <c r="C2" s="8">
        <v>6.666666666666667</v>
      </c>
      <c r="D2" s="8">
        <v>77.33333333333333</v>
      </c>
      <c r="E2" s="8">
        <v>5.333333333333333</v>
      </c>
      <c r="F2" s="8">
        <v>5.0</v>
      </c>
    </row>
    <row r="3">
      <c r="A3" s="7" t="s">
        <v>11</v>
      </c>
      <c r="B3" s="8">
        <v>1.0</v>
      </c>
      <c r="C3" s="8">
        <v>3.0</v>
      </c>
      <c r="D3" s="8">
        <v>71.0</v>
      </c>
      <c r="E3" s="8">
        <v>9.0</v>
      </c>
      <c r="F3" s="8">
        <v>5.0</v>
      </c>
    </row>
    <row r="4">
      <c r="A4" s="7" t="s">
        <v>9</v>
      </c>
      <c r="B4" s="8">
        <v>1.0</v>
      </c>
      <c r="C4" s="8">
        <v>7.0</v>
      </c>
      <c r="D4" s="8">
        <v>87.0</v>
      </c>
      <c r="E4" s="8">
        <v>9.0</v>
      </c>
      <c r="F4" s="8">
        <v>3.0</v>
      </c>
    </row>
    <row r="5">
      <c r="A5" s="7" t="s">
        <v>14</v>
      </c>
      <c r="B5" s="8">
        <v>3.0</v>
      </c>
      <c r="C5" s="8">
        <v>8.333333333333334</v>
      </c>
      <c r="D5" s="8">
        <v>69.0</v>
      </c>
      <c r="E5" s="8">
        <v>3.333333333333333</v>
      </c>
      <c r="F5" s="8">
        <v>6.666666666666667</v>
      </c>
    </row>
    <row r="6">
      <c r="A6" s="7" t="s">
        <v>31</v>
      </c>
      <c r="B6" s="8">
        <v>1.0</v>
      </c>
      <c r="C6" s="8">
        <v>1.0</v>
      </c>
      <c r="D6" s="8">
        <v>88.0</v>
      </c>
      <c r="E6" s="8">
        <v>0.0</v>
      </c>
      <c r="F6" s="8">
        <v>1.0</v>
      </c>
    </row>
    <row r="7">
      <c r="A7" s="7" t="s">
        <v>7</v>
      </c>
      <c r="B7" s="8">
        <v>1.0</v>
      </c>
      <c r="C7" s="8">
        <v>8.0</v>
      </c>
      <c r="D7" s="8">
        <v>54.0</v>
      </c>
      <c r="E7" s="8">
        <v>9.0</v>
      </c>
      <c r="F7" s="8">
        <v>6.0</v>
      </c>
    </row>
    <row r="8">
      <c r="A8" s="9"/>
      <c r="B8" s="9"/>
      <c r="C8" s="9"/>
      <c r="D8" s="9"/>
      <c r="E8" s="9"/>
      <c r="F8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>
      <c r="A1000" s="6" t="s">
        <v>1</v>
      </c>
      <c r="B1000" s="6" t="s">
        <v>26</v>
      </c>
      <c r="C1000" s="6" t="s">
        <v>32</v>
      </c>
      <c r="D1000" s="6" t="s">
        <v>33</v>
      </c>
      <c r="E1000" s="6" t="s">
        <v>29</v>
      </c>
      <c r="F1000" s="6" t="s">
        <v>30</v>
      </c>
    </row>
    <row r="1001" ht="15.75" customHeight="1">
      <c r="A1001" s="6" t="s">
        <v>11</v>
      </c>
      <c r="B1001" s="6">
        <v>3.0</v>
      </c>
      <c r="C1001" s="6">
        <v>4.666666666666667</v>
      </c>
      <c r="D1001" s="6">
        <v>79.33333333333333</v>
      </c>
      <c r="E1001" s="6">
        <v>6.0</v>
      </c>
      <c r="F1001" s="6">
        <v>8.666666666666666</v>
      </c>
    </row>
    <row r="1002" ht="15.75" customHeight="1">
      <c r="A1002" s="6" t="s">
        <v>16</v>
      </c>
      <c r="B1002" s="6">
        <v>2.0</v>
      </c>
      <c r="C1002" s="6">
        <v>5.5</v>
      </c>
      <c r="D1002" s="6">
        <v>91.5</v>
      </c>
      <c r="E1002" s="6">
        <v>1.5</v>
      </c>
      <c r="F1002" s="6">
        <v>7.0</v>
      </c>
    </row>
    <row r="1003" ht="15.75" customHeight="1">
      <c r="A1003" s="6" t="s">
        <v>14</v>
      </c>
      <c r="B1003" s="6">
        <v>1.0</v>
      </c>
      <c r="C1003" s="6">
        <v>3.0</v>
      </c>
      <c r="D1003" s="6">
        <v>62.0</v>
      </c>
      <c r="E1003" s="6">
        <v>9.0</v>
      </c>
      <c r="F1003" s="6">
        <v>8.0</v>
      </c>
    </row>
    <row r="1004" ht="15.75" customHeight="1">
      <c r="A1004" s="6" t="s">
        <v>7</v>
      </c>
      <c r="B1004" s="6">
        <v>2.0</v>
      </c>
      <c r="C1004" s="6">
        <v>5.5</v>
      </c>
      <c r="D1004" s="6">
        <v>77.5</v>
      </c>
      <c r="E1004" s="6">
        <v>7.0</v>
      </c>
      <c r="F1004" s="6">
        <v>5.5</v>
      </c>
    </row>
    <row r="1005" ht="15.75" customHeight="1">
      <c r="A1005" s="6" t="s">
        <v>9</v>
      </c>
      <c r="B1005" s="6">
        <v>2.0</v>
      </c>
      <c r="C1005" s="6">
        <v>6.0</v>
      </c>
      <c r="D1005" s="6">
        <v>70.5</v>
      </c>
      <c r="E1005" s="6">
        <v>7.5</v>
      </c>
      <c r="F1005" s="6">
        <v>7.0</v>
      </c>
    </row>
  </sheetData>
  <printOptions/>
  <pageMargins bottom="1.0" footer="0.0" header="0.0" left="0.75" right="0.75" top="1.0"/>
  <pageSetup orientation="landscape"/>
  <drawing r:id="rId1"/>
</worksheet>
</file>